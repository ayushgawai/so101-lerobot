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2F549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3" borderId="0" pivotButton="0" quotePrefix="0" xfId="0"/>
    <xf numFmtId="164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ACT Pick-and-Place — Protocol v1.0 Evaluation Score Sheet (20 trials)</t>
        </is>
      </c>
    </row>
    <row r="3">
      <c r="A3" s="2" t="inlineStr">
        <is>
          <t>Aligned with docs/eval_protocol.md. Fill only the YELLOW cells on the Trials tab. Summary stats compute automatically.</t>
        </is>
      </c>
    </row>
    <row r="5">
      <c r="A5" s="3" t="inlineStr">
        <is>
          <t>BEFORE you start — preconditions:</t>
        </is>
      </c>
    </row>
    <row r="6">
      <c r="A6" s="2" t="inlineStr">
        <is>
          <t>1. Lock ONE checkpoint BEFORE any scored trial (record it in Trials!B3). Do not swap after seeing results.</t>
        </is>
      </c>
    </row>
    <row r="7">
      <c r="A7" s="2" t="inlineStr">
        <is>
          <t>2. Camera Pose A: capture a frame and match the Pose A reference photo; fix the mount if it does not match.</t>
        </is>
      </c>
    </row>
    <row r="8">
      <c r="A8" s="2" t="inlineStr">
        <is>
          <t>3. Cube starts on taped positions 1–10 (docs/img/init_positions.jpg). Goal = fixed bowl.</t>
        </is>
      </c>
    </row>
    <row r="9">
      <c r="A9" s="2" t="inlineStr">
        <is>
          <t>4. No manual assist. Human touch / teleop / safety stop =&gt; FAIL.</t>
        </is>
      </c>
    </row>
    <row r="10">
      <c r="A10" s="2" t="inlineStr">
        <is>
          <t>5. No time limit. End the episode (right-arrow) when success or a clear terminal failure is decided.</t>
        </is>
      </c>
    </row>
    <row r="12">
      <c r="A12" s="3" t="inlineStr">
        <is>
          <t>SUCCESS (Placed? = Y): cube is released by the policy and rests fully inside the bowl (not on rim).</t>
        </is>
      </c>
    </row>
    <row r="14">
      <c r="A14" s="2" t="inlineStr">
        <is>
          <t>Trial plan: 20 trials = each of positions 1–10 tested twice (trial 1 and trial 2).</t>
        </is>
      </c>
    </row>
    <row r="15">
      <c r="A15" s="2" t="inlineStr">
        <is>
          <t>Sheet order: pos1 t1, pos1 t2, pos2 t1, … pos10 t2. Reset cube to the marked tape each time.</t>
        </is>
      </c>
    </row>
    <row r="17">
      <c r="A17" s="3" t="inlineStr">
        <is>
          <t>Failure modes (pick ONE; leave blank on success):</t>
        </is>
      </c>
    </row>
    <row r="18">
      <c r="A18" s="2" t="inlineStr">
        <is>
          <t xml:space="preserve">  no-grasp | grasped-dropped | wrong-placement | safety-stop | other (explain in notes)</t>
        </is>
      </c>
    </row>
    <row r="20">
      <c r="A20" s="2" t="inlineStr">
        <is>
          <t>Video naming (protocol §7): videos/WXX/act_poseA_pos{NN}_t{N}.mp4</t>
        </is>
      </c>
    </row>
    <row r="21">
      <c r="A21" s="2" t="inlineStr">
        <is>
          <t>Also append each row to results/results.csv when the session is done.</t>
        </is>
      </c>
    </row>
    <row r="23">
      <c r="A23" s="3" t="inlineStr">
        <is>
          <t>How to run inference (example — confirm checkpoint lock first):</t>
        </is>
      </c>
    </row>
    <row r="24">
      <c r="A24" s="2" t="inlineStr">
        <is>
          <t xml:space="preserve">  .\scripts\run_eval.ps1 -Policy act -Mode fixed -Checkpoint "outputs/train/act_so101_pick_place_positions/checkpoints/030000/pretrained_model" -NumEpisodes 20 -RepoId "aakashv100/eval_act-pick-place-positions-poseA" -EpisodeTime -1 -ClearCache</t>
        </is>
      </c>
    </row>
    <row r="26">
      <c r="A26" s="2" t="inlineStr">
        <is>
          <t>Keyboard: right-arrow = end episode &amp; save; Escape = stop without saving.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0" customWidth="1" min="3" max="3"/>
    <col width="14" customWidth="1" min="4" max="4"/>
    <col width="14" customWidth="1" min="5" max="5"/>
    <col width="18" customWidth="1" min="6" max="6"/>
    <col width="16" customWidth="1" min="7" max="7"/>
    <col width="42" customWidth="1" min="8" max="8"/>
    <col width="28" customWidth="1" min="9" max="9"/>
    <col width="8" customWidth="1" min="11" max="11"/>
    <col width="12" customWidth="1" min="12" max="12"/>
    <col width="10" customWidth="1" min="13" max="13"/>
  </cols>
  <sheetData>
    <row r="1">
      <c r="A1" s="1" t="inlineStr">
        <is>
          <t>ACT Evaluation — Positions 1–10 × 2 (Protocol v1.0)</t>
        </is>
      </c>
    </row>
    <row r="3">
      <c r="A3" s="4" t="inlineStr">
        <is>
          <t>Checkpoint (locked)</t>
        </is>
      </c>
      <c r="B3" s="5" t="inlineStr">
        <is>
          <t>030000</t>
        </is>
      </c>
      <c r="D3" s="4" t="inlineStr">
        <is>
          <t>Train data (HF id)</t>
        </is>
      </c>
      <c r="E3" s="5" t="inlineStr">
        <is>
          <t>aakashv100/so101-pick-place-positions</t>
        </is>
      </c>
    </row>
    <row r="4">
      <c r="A4" s="4" t="inlineStr">
        <is>
          <t>Camera pose</t>
        </is>
      </c>
      <c r="B4" s="5" t="inlineStr">
        <is>
          <t>A</t>
        </is>
      </c>
      <c r="D4" s="4" t="inlineStr">
        <is>
          <t>Domain / robot</t>
        </is>
      </c>
      <c r="E4" s="5" t="inlineStr">
        <is>
          <t>real / so101</t>
        </is>
      </c>
    </row>
    <row r="5">
      <c r="A5" s="4" t="inlineStr">
        <is>
          <t>Operator</t>
        </is>
      </c>
      <c r="B5" s="5" t="inlineStr"/>
      <c r="D5" s="4" t="inlineStr">
        <is>
          <t>Date (YYYY-MM-DD)</t>
        </is>
      </c>
      <c r="E5" s="5" t="inlineStr"/>
    </row>
    <row r="6">
      <c r="A6" s="4" t="inlineStr">
        <is>
          <t>Eval dataset repo</t>
        </is>
      </c>
      <c r="B6" s="5" t="inlineStr">
        <is>
          <t>aakashv100/eval_act-pick-place-positions-poseA</t>
        </is>
      </c>
      <c r="D6" s="4" t="inlineStr">
        <is>
          <t>Week folder (videos)</t>
        </is>
      </c>
      <c r="E6" s="5" t="inlineStr">
        <is>
          <t>W02</t>
        </is>
      </c>
    </row>
    <row r="8">
      <c r="A8" s="3" t="inlineStr">
        <is>
          <t>SUMMARY (auto-computed)</t>
        </is>
      </c>
      <c r="K8" s="3" t="inlineStr">
        <is>
          <t>Per-position success (of 2)</t>
        </is>
      </c>
    </row>
    <row r="9">
      <c r="A9" t="inlineStr">
        <is>
          <t>Total trials</t>
        </is>
      </c>
      <c r="D9">
        <f>COUNTA(D19:D38)</f>
        <v/>
      </c>
      <c r="K9" s="6" t="inlineStr">
        <is>
          <t>pos</t>
        </is>
      </c>
      <c r="L9" s="6" t="inlineStr">
        <is>
          <t>successes</t>
        </is>
      </c>
      <c r="M9" s="6" t="inlineStr">
        <is>
          <t>rate</t>
        </is>
      </c>
    </row>
    <row r="10">
      <c r="A10" t="inlineStr">
        <is>
          <t>Successes (grasp Y AND placed Y)</t>
        </is>
      </c>
      <c r="D10">
        <f>COUNTIFS(D19:D38,"Y",E19:E38,"Y")</f>
        <v/>
      </c>
      <c r="K10" t="n">
        <v>1</v>
      </c>
      <c r="L10">
        <f>COUNTIFS($B$19:$B$38,K10,$D$19:$D$38,"Y",$E$19:$E$38,"Y")</f>
        <v/>
      </c>
      <c r="M10" s="7">
        <f>IF(COUNTIF($B$19:$B$38,K10)=0,0,L10/COUNTIF($B$19:$B$38,K10))</f>
        <v/>
      </c>
    </row>
    <row r="11">
      <c r="A11" t="inlineStr">
        <is>
          <t>Success rate</t>
        </is>
      </c>
      <c r="D11" s="7">
        <f>IF(D9=0,0,D10/D9)</f>
        <v/>
      </c>
      <c r="K11" t="n">
        <v>2</v>
      </c>
      <c r="L11">
        <f>COUNTIFS($B$19:$B$38,K11,$D$19:$D$38,"Y",$E$19:$E$38,"Y")</f>
        <v/>
      </c>
      <c r="M11" s="7">
        <f>IF(COUNTIF($B$19:$B$38,K11)=0,0,L11/COUNTIF($B$19:$B$38,K11))</f>
        <v/>
      </c>
    </row>
    <row r="12">
      <c r="A12" t="inlineStr">
        <is>
          <t>Grasp rate</t>
        </is>
      </c>
      <c r="D12" s="7">
        <f>IF(D9=0,0,COUNTIF(D19:D38,"Y")/D9)</f>
        <v/>
      </c>
      <c r="K12" t="n">
        <v>3</v>
      </c>
      <c r="L12">
        <f>COUNTIFS($B$19:$B$38,K12,$D$19:$D$38,"Y",$E$19:$E$38,"Y")</f>
        <v/>
      </c>
      <c r="M12" s="7">
        <f>IF(COUNTIF($B$19:$B$38,K12)=0,0,L12/COUNTIF($B$19:$B$38,K12))</f>
        <v/>
      </c>
    </row>
    <row r="13">
      <c r="A13" t="inlineStr">
        <is>
          <t>Mean placement err (cm, placed Y only)</t>
        </is>
      </c>
      <c r="D13">
        <f>IFERROR(AVERAGEIFS(G19:G38,E19:E38,"Y"),"-")</f>
        <v/>
      </c>
      <c r="K13" t="n">
        <v>4</v>
      </c>
      <c r="L13">
        <f>COUNTIFS($B$19:$B$38,K13,$D$19:$D$38,"Y",$E$19:$E$38,"Y")</f>
        <v/>
      </c>
      <c r="M13" s="7">
        <f>IF(COUNTIF($B$19:$B$38,K13)=0,0,L13/COUNTIF($B$19:$B$38,K13))</f>
        <v/>
      </c>
    </row>
    <row r="14">
      <c r="A14" t="inlineStr">
        <is>
          <t>Fail: no-grasp</t>
        </is>
      </c>
      <c r="D14">
        <f>COUNTIF(F19:F38,"no-grasp")</f>
        <v/>
      </c>
      <c r="K14" t="n">
        <v>5</v>
      </c>
      <c r="L14">
        <f>COUNTIFS($B$19:$B$38,K14,$D$19:$D$38,"Y",$E$19:$E$38,"Y")</f>
        <v/>
      </c>
      <c r="M14" s="7">
        <f>IF(COUNTIF($B$19:$B$38,K14)=0,0,L14/COUNTIF($B$19:$B$38,K14))</f>
        <v/>
      </c>
    </row>
    <row r="15">
      <c r="A15" t="inlineStr">
        <is>
          <t>Fail: grasped-dropped</t>
        </is>
      </c>
      <c r="D15">
        <f>COUNTIF(F19:F38,"grasped-dropped")</f>
        <v/>
      </c>
      <c r="K15" t="n">
        <v>6</v>
      </c>
      <c r="L15">
        <f>COUNTIFS($B$19:$B$38,K15,$D$19:$D$38,"Y",$E$19:$E$38,"Y")</f>
        <v/>
      </c>
      <c r="M15" s="7">
        <f>IF(COUNTIF($B$19:$B$38,K15)=0,0,L15/COUNTIF($B$19:$B$38,K15))</f>
        <v/>
      </c>
    </row>
    <row r="16">
      <c r="A16" t="inlineStr">
        <is>
          <t>Fail: wrong-placement</t>
        </is>
      </c>
      <c r="D16">
        <f>COUNTIF(F19:F38,"wrong-placement")</f>
        <v/>
      </c>
      <c r="K16" t="n">
        <v>7</v>
      </c>
      <c r="L16">
        <f>COUNTIFS($B$19:$B$38,K16,$D$19:$D$38,"Y",$E$19:$E$38,"Y")</f>
        <v/>
      </c>
      <c r="M16" s="7">
        <f>IF(COUNTIF($B$19:$B$38,K16)=0,0,L16/COUNTIF($B$19:$B$38,K16))</f>
        <v/>
      </c>
    </row>
    <row r="17">
      <c r="A17" t="inlineStr">
        <is>
          <t>Fail: safety-stop / other</t>
        </is>
      </c>
      <c r="D17">
        <f>COUNTIF(F19:F38,"safety-stop")+COUNTIF(F19:F38,"other")</f>
        <v/>
      </c>
      <c r="K17" t="n">
        <v>8</v>
      </c>
      <c r="L17">
        <f>COUNTIFS($B$19:$B$38,K17,$D$19:$D$38,"Y",$E$19:$E$38,"Y")</f>
        <v/>
      </c>
      <c r="M17" s="7">
        <f>IF(COUNTIF($B$19:$B$38,K17)=0,0,L17/COUNTIF($B$19:$B$38,K17))</f>
        <v/>
      </c>
    </row>
    <row r="18" ht="32" customHeight="1">
      <c r="A18" s="8" t="inlineStr">
        <is>
          <t>Trial #</t>
        </is>
      </c>
      <c r="B18" s="8" t="inlineStr">
        <is>
          <t>init_pos_id</t>
        </is>
      </c>
      <c r="C18" s="8" t="inlineStr">
        <is>
          <t>trial</t>
        </is>
      </c>
      <c r="D18" s="8" t="inlineStr">
        <is>
          <t>Grasped? (Y/N)</t>
        </is>
      </c>
      <c r="E18" s="8" t="inlineStr">
        <is>
          <t>Placed? (Y/N)</t>
        </is>
      </c>
      <c r="F18" s="8" t="inlineStr">
        <is>
          <t>Failure mode</t>
        </is>
      </c>
      <c r="G18" s="8" t="inlineStr">
        <is>
          <t>Placement err (cm)</t>
        </is>
      </c>
      <c r="H18" s="8" t="inlineStr">
        <is>
          <t>video_file</t>
        </is>
      </c>
      <c r="I18" s="8" t="inlineStr">
        <is>
          <t>notes</t>
        </is>
      </c>
      <c r="K18" t="n">
        <v>9</v>
      </c>
      <c r="L18">
        <f>COUNTIFS($B$19:$B$38,K18,$D$19:$D$38,"Y",$E$19:$E$38,"Y")</f>
        <v/>
      </c>
      <c r="M18" s="7">
        <f>IF(COUNTIF($B$19:$B$38,K18)=0,0,L18/COUNTIF($B$19:$B$38,K18))</f>
        <v/>
      </c>
    </row>
    <row r="19">
      <c r="A19" s="9" t="n">
        <v>1</v>
      </c>
      <c r="B19" s="9" t="n">
        <v>1</v>
      </c>
      <c r="C19" s="9" t="n">
        <v>1</v>
      </c>
      <c r="D19" s="10" t="n"/>
      <c r="E19" s="10" t="n"/>
      <c r="F19" s="10" t="n"/>
      <c r="G19" s="10" t="n"/>
      <c r="H19" s="10">
        <f>CONCATENATE("videos/",$E$6,"/act_pose",$B$4,"_pos",TEXT(B19,"00"),"_t",C19,".mp4")</f>
        <v/>
      </c>
      <c r="I19" s="10" t="n"/>
      <c r="K19" t="n">
        <v>10</v>
      </c>
      <c r="L19">
        <f>COUNTIFS($B$19:$B$38,K19,$D$19:$D$38,"Y",$E$19:$E$38,"Y")</f>
        <v/>
      </c>
      <c r="M19" s="7">
        <f>IF(COUNTIF($B$19:$B$38,K19)=0,0,L19/COUNTIF($B$19:$B$38,K19))</f>
        <v/>
      </c>
    </row>
    <row r="20">
      <c r="A20" s="9" t="n">
        <v>2</v>
      </c>
      <c r="B20" s="9" t="n">
        <v>1</v>
      </c>
      <c r="C20" s="9" t="n">
        <v>2</v>
      </c>
      <c r="D20" s="10" t="n"/>
      <c r="E20" s="10" t="n"/>
      <c r="F20" s="10" t="n"/>
      <c r="G20" s="10" t="n"/>
      <c r="H20" s="10">
        <f>CONCATENATE("videos/",$E$6,"/act_pose",$B$4,"_pos",TEXT(B20,"00"),"_t",C20,".mp4")</f>
        <v/>
      </c>
      <c r="I20" s="10" t="n"/>
    </row>
    <row r="21">
      <c r="A21" s="9" t="n">
        <v>3</v>
      </c>
      <c r="B21" s="9" t="n">
        <v>2</v>
      </c>
      <c r="C21" s="9" t="n">
        <v>1</v>
      </c>
      <c r="D21" s="10" t="n"/>
      <c r="E21" s="10" t="n"/>
      <c r="F21" s="10" t="n"/>
      <c r="G21" s="10" t="n"/>
      <c r="H21" s="10">
        <f>CONCATENATE("videos/",$E$6,"/act_pose",$B$4,"_pos",TEXT(B21,"00"),"_t",C21,".mp4")</f>
        <v/>
      </c>
      <c r="I21" s="10" t="n"/>
    </row>
    <row r="22">
      <c r="A22" s="9" t="n">
        <v>4</v>
      </c>
      <c r="B22" s="9" t="n">
        <v>2</v>
      </c>
      <c r="C22" s="9" t="n">
        <v>2</v>
      </c>
      <c r="D22" s="10" t="n"/>
      <c r="E22" s="10" t="n"/>
      <c r="F22" s="10" t="n"/>
      <c r="G22" s="10" t="n"/>
      <c r="H22" s="10">
        <f>CONCATENATE("videos/",$E$6,"/act_pose",$B$4,"_pos",TEXT(B22,"00"),"_t",C22,".mp4")</f>
        <v/>
      </c>
      <c r="I22" s="10" t="n"/>
    </row>
    <row r="23">
      <c r="A23" s="9" t="n">
        <v>5</v>
      </c>
      <c r="B23" s="9" t="n">
        <v>3</v>
      </c>
      <c r="C23" s="9" t="n">
        <v>1</v>
      </c>
      <c r="D23" s="10" t="n"/>
      <c r="E23" s="10" t="n"/>
      <c r="F23" s="10" t="n"/>
      <c r="G23" s="10" t="n"/>
      <c r="H23" s="10">
        <f>CONCATENATE("videos/",$E$6,"/act_pose",$B$4,"_pos",TEXT(B23,"00"),"_t",C23,".mp4")</f>
        <v/>
      </c>
      <c r="I23" s="10" t="n"/>
    </row>
    <row r="24">
      <c r="A24" s="9" t="n">
        <v>6</v>
      </c>
      <c r="B24" s="9" t="n">
        <v>3</v>
      </c>
      <c r="C24" s="9" t="n">
        <v>2</v>
      </c>
      <c r="D24" s="10" t="n"/>
      <c r="E24" s="10" t="n"/>
      <c r="F24" s="10" t="n"/>
      <c r="G24" s="10" t="n"/>
      <c r="H24" s="10">
        <f>CONCATENATE("videos/",$E$6,"/act_pose",$B$4,"_pos",TEXT(B24,"00"),"_t",C24,".mp4")</f>
        <v/>
      </c>
      <c r="I24" s="10" t="n"/>
    </row>
    <row r="25">
      <c r="A25" s="9" t="n">
        <v>7</v>
      </c>
      <c r="B25" s="9" t="n">
        <v>4</v>
      </c>
      <c r="C25" s="9" t="n">
        <v>1</v>
      </c>
      <c r="D25" s="10" t="n"/>
      <c r="E25" s="10" t="n"/>
      <c r="F25" s="10" t="n"/>
      <c r="G25" s="10" t="n"/>
      <c r="H25" s="10">
        <f>CONCATENATE("videos/",$E$6,"/act_pose",$B$4,"_pos",TEXT(B25,"00"),"_t",C25,".mp4")</f>
        <v/>
      </c>
      <c r="I25" s="10" t="n"/>
    </row>
    <row r="26">
      <c r="A26" s="9" t="n">
        <v>8</v>
      </c>
      <c r="B26" s="9" t="n">
        <v>4</v>
      </c>
      <c r="C26" s="9" t="n">
        <v>2</v>
      </c>
      <c r="D26" s="10" t="n"/>
      <c r="E26" s="10" t="n"/>
      <c r="F26" s="10" t="n"/>
      <c r="G26" s="10" t="n"/>
      <c r="H26" s="10">
        <f>CONCATENATE("videos/",$E$6,"/act_pose",$B$4,"_pos",TEXT(B26,"00"),"_t",C26,".mp4")</f>
        <v/>
      </c>
      <c r="I26" s="10" t="n"/>
    </row>
    <row r="27">
      <c r="A27" s="9" t="n">
        <v>9</v>
      </c>
      <c r="B27" s="9" t="n">
        <v>5</v>
      </c>
      <c r="C27" s="9" t="n">
        <v>1</v>
      </c>
      <c r="D27" s="10" t="n"/>
      <c r="E27" s="10" t="n"/>
      <c r="F27" s="10" t="n"/>
      <c r="G27" s="10" t="n"/>
      <c r="H27" s="10">
        <f>CONCATENATE("videos/",$E$6,"/act_pose",$B$4,"_pos",TEXT(B27,"00"),"_t",C27,".mp4")</f>
        <v/>
      </c>
      <c r="I27" s="10" t="n"/>
    </row>
    <row r="28">
      <c r="A28" s="9" t="n">
        <v>10</v>
      </c>
      <c r="B28" s="9" t="n">
        <v>5</v>
      </c>
      <c r="C28" s="9" t="n">
        <v>2</v>
      </c>
      <c r="D28" s="10" t="n"/>
      <c r="E28" s="10" t="n"/>
      <c r="F28" s="10" t="n"/>
      <c r="G28" s="10" t="n"/>
      <c r="H28" s="10">
        <f>CONCATENATE("videos/",$E$6,"/act_pose",$B$4,"_pos",TEXT(B28,"00"),"_t",C28,".mp4")</f>
        <v/>
      </c>
      <c r="I28" s="10" t="n"/>
    </row>
    <row r="29">
      <c r="A29" s="9" t="n">
        <v>11</v>
      </c>
      <c r="B29" s="9" t="n">
        <v>6</v>
      </c>
      <c r="C29" s="9" t="n">
        <v>1</v>
      </c>
      <c r="D29" s="10" t="n"/>
      <c r="E29" s="10" t="n"/>
      <c r="F29" s="10" t="n"/>
      <c r="G29" s="10" t="n"/>
      <c r="H29" s="10">
        <f>CONCATENATE("videos/",$E$6,"/act_pose",$B$4,"_pos",TEXT(B29,"00"),"_t",C29,".mp4")</f>
        <v/>
      </c>
      <c r="I29" s="10" t="n"/>
    </row>
    <row r="30">
      <c r="A30" s="9" t="n">
        <v>12</v>
      </c>
      <c r="B30" s="9" t="n">
        <v>6</v>
      </c>
      <c r="C30" s="9" t="n">
        <v>2</v>
      </c>
      <c r="D30" s="10" t="n"/>
      <c r="E30" s="10" t="n"/>
      <c r="F30" s="10" t="n"/>
      <c r="G30" s="10" t="n"/>
      <c r="H30" s="10">
        <f>CONCATENATE("videos/",$E$6,"/act_pose",$B$4,"_pos",TEXT(B30,"00"),"_t",C30,".mp4")</f>
        <v/>
      </c>
      <c r="I30" s="10" t="n"/>
    </row>
    <row r="31">
      <c r="A31" s="9" t="n">
        <v>13</v>
      </c>
      <c r="B31" s="9" t="n">
        <v>7</v>
      </c>
      <c r="C31" s="9" t="n">
        <v>1</v>
      </c>
      <c r="D31" s="10" t="n"/>
      <c r="E31" s="10" t="n"/>
      <c r="F31" s="10" t="n"/>
      <c r="G31" s="10" t="n"/>
      <c r="H31" s="10">
        <f>CONCATENATE("videos/",$E$6,"/act_pose",$B$4,"_pos",TEXT(B31,"00"),"_t",C31,".mp4")</f>
        <v/>
      </c>
      <c r="I31" s="10" t="n"/>
    </row>
    <row r="32">
      <c r="A32" s="9" t="n">
        <v>14</v>
      </c>
      <c r="B32" s="9" t="n">
        <v>7</v>
      </c>
      <c r="C32" s="9" t="n">
        <v>2</v>
      </c>
      <c r="D32" s="10" t="n"/>
      <c r="E32" s="10" t="n"/>
      <c r="F32" s="10" t="n"/>
      <c r="G32" s="10" t="n"/>
      <c r="H32" s="10">
        <f>CONCATENATE("videos/",$E$6,"/act_pose",$B$4,"_pos",TEXT(B32,"00"),"_t",C32,".mp4")</f>
        <v/>
      </c>
      <c r="I32" s="10" t="n"/>
    </row>
    <row r="33">
      <c r="A33" s="9" t="n">
        <v>15</v>
      </c>
      <c r="B33" s="9" t="n">
        <v>8</v>
      </c>
      <c r="C33" s="9" t="n">
        <v>1</v>
      </c>
      <c r="D33" s="10" t="n"/>
      <c r="E33" s="10" t="n"/>
      <c r="F33" s="10" t="n"/>
      <c r="G33" s="10" t="n"/>
      <c r="H33" s="10">
        <f>CONCATENATE("videos/",$E$6,"/act_pose",$B$4,"_pos",TEXT(B33,"00"),"_t",C33,".mp4")</f>
        <v/>
      </c>
      <c r="I33" s="10" t="n"/>
    </row>
    <row r="34">
      <c r="A34" s="9" t="n">
        <v>16</v>
      </c>
      <c r="B34" s="9" t="n">
        <v>8</v>
      </c>
      <c r="C34" s="9" t="n">
        <v>2</v>
      </c>
      <c r="D34" s="10" t="n"/>
      <c r="E34" s="10" t="n"/>
      <c r="F34" s="10" t="n"/>
      <c r="G34" s="10" t="n"/>
      <c r="H34" s="10">
        <f>CONCATENATE("videos/",$E$6,"/act_pose",$B$4,"_pos",TEXT(B34,"00"),"_t",C34,".mp4")</f>
        <v/>
      </c>
      <c r="I34" s="10" t="n"/>
    </row>
    <row r="35">
      <c r="A35" s="9" t="n">
        <v>17</v>
      </c>
      <c r="B35" s="9" t="n">
        <v>9</v>
      </c>
      <c r="C35" s="9" t="n">
        <v>1</v>
      </c>
      <c r="D35" s="10" t="n"/>
      <c r="E35" s="10" t="n"/>
      <c r="F35" s="10" t="n"/>
      <c r="G35" s="10" t="n"/>
      <c r="H35" s="10">
        <f>CONCATENATE("videos/",$E$6,"/act_pose",$B$4,"_pos",TEXT(B35,"00"),"_t",C35,".mp4")</f>
        <v/>
      </c>
      <c r="I35" s="10" t="n"/>
    </row>
    <row r="36">
      <c r="A36" s="9" t="n">
        <v>18</v>
      </c>
      <c r="B36" s="9" t="n">
        <v>9</v>
      </c>
      <c r="C36" s="9" t="n">
        <v>2</v>
      </c>
      <c r="D36" s="10" t="n"/>
      <c r="E36" s="10" t="n"/>
      <c r="F36" s="10" t="n"/>
      <c r="G36" s="10" t="n"/>
      <c r="H36" s="10">
        <f>CONCATENATE("videos/",$E$6,"/act_pose",$B$4,"_pos",TEXT(B36,"00"),"_t",C36,".mp4")</f>
        <v/>
      </c>
      <c r="I36" s="10" t="n"/>
    </row>
    <row r="37">
      <c r="A37" s="9" t="n">
        <v>19</v>
      </c>
      <c r="B37" s="9" t="n">
        <v>10</v>
      </c>
      <c r="C37" s="9" t="n">
        <v>1</v>
      </c>
      <c r="D37" s="10" t="n"/>
      <c r="E37" s="10" t="n"/>
      <c r="F37" s="10" t="n"/>
      <c r="G37" s="10" t="n"/>
      <c r="H37" s="10">
        <f>CONCATENATE("videos/",$E$6,"/act_pose",$B$4,"_pos",TEXT(B37,"00"),"_t",C37,".mp4")</f>
        <v/>
      </c>
      <c r="I37" s="10" t="n"/>
    </row>
    <row r="38">
      <c r="A38" s="9" t="n">
        <v>20</v>
      </c>
      <c r="B38" s="9" t="n">
        <v>10</v>
      </c>
      <c r="C38" s="9" t="n">
        <v>2</v>
      </c>
      <c r="D38" s="10" t="n"/>
      <c r="E38" s="10" t="n"/>
      <c r="F38" s="10" t="n"/>
      <c r="G38" s="10" t="n"/>
      <c r="H38" s="10">
        <f>CONCATENATE("videos/",$E$6,"/act_pose",$B$4,"_pos",TEXT(B38,"00"),"_t",C38,".mp4")</f>
        <v/>
      </c>
      <c r="I38" s="10" t="n"/>
    </row>
  </sheetData>
  <mergeCells count="10">
    <mergeCell ref="A10:C10"/>
    <mergeCell ref="A13:C13"/>
    <mergeCell ref="A11:C11"/>
    <mergeCell ref="A14:C14"/>
    <mergeCell ref="A1:I1"/>
    <mergeCell ref="A9:C9"/>
    <mergeCell ref="A17:C17"/>
    <mergeCell ref="A12:C12"/>
    <mergeCell ref="A16:C16"/>
    <mergeCell ref="A15:C15"/>
  </mergeCells>
  <dataValidations count="2">
    <dataValidation sqref="D19:E38" showDropDown="0" showInputMessage="0" showErrorMessage="0" allowBlank="1" type="list">
      <formula1>"Y,N"</formula1>
    </dataValidation>
    <dataValidation sqref="F19:F38" showDropDown="0" showInputMessage="0" showErrorMessage="0" allowBlank="1" type="list">
      <formula1>"no-grasp,grasped-dropped,wrong-placement,safety-stop,other"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2026-10-01T18:06:50Z</dcterms:created>
  <dcterms:modified xsi:type="dcterms:W3CDTF">2026-10-01T18:06:50Z</dcterms:modified>
</cp:coreProperties>
</file>